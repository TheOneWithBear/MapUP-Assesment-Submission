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D:\MapUp - Python Assessment\MapUp-Data-Assessment-F\"/>
    </mc:Choice>
  </mc:AlternateContent>
  <bookViews>
    <workbookView xWindow="0" yWindow="500" windowWidth="29400" windowHeight="1630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C30" i="18"/>
  <c r="D30" i="18"/>
  <c r="E30" i="18"/>
  <c r="F30" i="18"/>
  <c r="B30" i="18"/>
  <c r="C29" i="18"/>
  <c r="D29" i="18"/>
  <c r="E29" i="18"/>
  <c r="F29" i="18"/>
  <c r="B29" i="18"/>
  <c r="D28" i="18"/>
  <c r="E28" i="18"/>
  <c r="F28" i="18"/>
  <c r="C28" i="18"/>
  <c r="B28" i="18"/>
  <c r="D6" i="18"/>
  <c r="E6" i="18"/>
  <c r="F6" i="18"/>
  <c r="D7" i="18"/>
  <c r="E7" i="18"/>
  <c r="F7" i="18"/>
  <c r="D8" i="18"/>
  <c r="E8" i="18"/>
  <c r="F8" i="18"/>
  <c r="D9" i="18"/>
  <c r="E9" i="18"/>
  <c r="F9" i="18"/>
  <c r="D10" i="18"/>
  <c r="E10" i="18"/>
  <c r="F10" i="18"/>
  <c r="D11" i="18"/>
  <c r="E11" i="18"/>
  <c r="F11" i="18"/>
  <c r="D12" i="18"/>
  <c r="E12" i="18"/>
  <c r="F12" i="18"/>
  <c r="D13" i="18"/>
  <c r="E13" i="18"/>
  <c r="F13" i="18"/>
  <c r="D14" i="18"/>
  <c r="E14" i="18"/>
  <c r="F14" i="18"/>
  <c r="D15" i="18"/>
  <c r="E15" i="18"/>
  <c r="F15" i="18"/>
  <c r="D16" i="18"/>
  <c r="E16" i="18"/>
  <c r="F16" i="18"/>
  <c r="D17" i="18"/>
  <c r="E17" i="18"/>
  <c r="F17" i="18"/>
  <c r="D18" i="18"/>
  <c r="E18" i="18"/>
  <c r="F18" i="18"/>
  <c r="D19" i="18"/>
  <c r="E19" i="18"/>
  <c r="F19" i="18"/>
  <c r="D20" i="18"/>
  <c r="E20" i="18"/>
  <c r="F20" i="18"/>
  <c r="D21" i="18"/>
  <c r="E21" i="18"/>
  <c r="F21" i="18"/>
  <c r="D22" i="18"/>
  <c r="E22" i="18"/>
  <c r="F22" i="18"/>
  <c r="D23" i="18"/>
  <c r="E23" i="18"/>
  <c r="F23" i="18"/>
  <c r="D24" i="18"/>
  <c r="E24" i="18"/>
  <c r="F24" i="18"/>
  <c r="D25" i="18"/>
  <c r="E25" i="18"/>
  <c r="F25" i="18"/>
  <c r="D26" i="18"/>
  <c r="E26" i="18"/>
  <c r="F26" i="18"/>
  <c r="D27" i="18"/>
  <c r="E27" i="18"/>
  <c r="F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  <c r="H43" i="15" s="1"/>
  <c r="H43" i="1"/>
</calcChain>
</file>

<file path=xl/sharedStrings.xml><?xml version="1.0" encoding="utf-8"?>
<sst xmlns="http://schemas.openxmlformats.org/spreadsheetml/2006/main" count="402" uniqueCount="179">
  <si>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</si>
  <si>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</si>
  <si>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</si>
  <si>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</si>
  <si>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</si>
  <si>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</si>
  <si>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</si>
  <si>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</si>
  <si>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</si>
  <si>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</si>
  <si>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</si>
  <si>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</si>
  <si>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</si>
  <si>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</si>
  <si>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</si>
  <si>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</si>
  <si>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</si>
  <si>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</si>
  <si>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</si>
  <si>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</si>
  <si>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</si>
  <si>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</si>
  <si>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</si>
  <si>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</si>
  <si>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</si>
  <si>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</si>
  <si>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</si>
  <si>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</si>
  <si>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</si>
  <si>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</si>
  <si>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</si>
  <si>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</si>
  <si>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</si>
  <si>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</si>
  <si>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</si>
  <si>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</si>
  <si>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</si>
  <si>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</si>
  <si>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</si>
  <si>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</si>
  <si>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</si>
  <si>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</si>
  <si>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</si>
  <si>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</si>
  <si>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</si>
  <si>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</si>
  <si>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</si>
  <si>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</si>
  <si>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</si>
  <si>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</si>
  <si>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</si>
  <si>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</si>
  <si>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</si>
  <si>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</si>
  <si>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</si>
  <si>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</si>
  <si>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</si>
  <si>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</si>
  <si>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</si>
  <si>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</si>
  <si>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</si>
  <si>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</si>
  <si>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</si>
  <si>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</si>
  <si>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</si>
  <si>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</si>
  <si>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</si>
  <si>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</si>
  <si>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</si>
  <si>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</si>
  <si>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</si>
  <si>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</si>
  <si>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</si>
  <si>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</si>
  <si>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</si>
  <si>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</si>
  <si>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</si>
  <si>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</si>
  <si>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</si>
  <si>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</si>
  <si>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</si>
  <si>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</si>
  <si>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</si>
  <si>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</si>
  <si>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</si>
  <si>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</si>
  <si>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</si>
  <si>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</si>
  <si>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</si>
  <si>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</si>
  <si>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</si>
  <si>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</si>
  <si>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</si>
  <si>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</si>
  <si>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</si>
  <si>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</si>
  <si>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</si>
  <si>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</si>
  <si>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</si>
  <si>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</si>
  <si>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</si>
  <si>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</si>
  <si>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</si>
  <si>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</si>
  <si>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</si>
  <si>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</si>
  <si>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</si>
  <si>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</si>
  <si>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</si>
  <si>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</si>
  <si>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</si>
  <si>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</si>
  <si>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</si>
  <si>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</si>
  <si>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</si>
  <si>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</si>
  <si>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</si>
  <si>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</si>
  <si>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</si>
  <si>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</si>
  <si>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</si>
  <si>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</si>
  <si>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</si>
  <si>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</si>
  <si>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</si>
  <si>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</si>
  <si>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</si>
  <si>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</si>
  <si>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</si>
  <si>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</si>
  <si>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</si>
  <si>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</si>
  <si>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</si>
  <si>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</si>
  <si>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</si>
  <si>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</si>
  <si>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</si>
  <si>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</si>
  <si>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</si>
  <si>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</si>
  <si>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</si>
  <si>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</si>
  <si>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</si>
  <si>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</si>
  <si>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</si>
  <si>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</si>
  <si>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</si>
  <si>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</si>
  <si>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</si>
  <si>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</si>
  <si>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</si>
  <si>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</si>
  <si>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</si>
  <si>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</si>
  <si>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</si>
  <si>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</si>
  <si>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</si>
  <si>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</si>
  <si>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</si>
  <si>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</si>
  <si>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</si>
  <si>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</si>
  <si>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</si>
  <si>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</si>
  <si>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</si>
  <si>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</si>
  <si>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</si>
  <si>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</si>
  <si>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</si>
  <si>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</si>
  <si>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</si>
  <si>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</si>
  <si>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</si>
  <si>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</si>
  <si>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</si>
  <si>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</si>
  <si>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</si>
  <si>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This is an array formula that uses IFERROR to check each value in Table_A. If the value is not an error (i.e., not #N/A), it uses the original value. If it encounters an #N/A error, it substitutes it with the value '20'. Then, it calculates the sum of these adjusted values. Here , Instead of pressing 'Enter', press 'Ctrl + Shift + Enter'. This tells Excel that it's an array formula.</t>
  </si>
  <si>
    <t>SUM(IFERROR(Task_4!C12:C21,20))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</si>
</sst>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9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6" borderId="0" xfId="0" applyFont="1" applyFill="1"/>
    <xf numFmtId="0" fontId="3" fillId="7" borderId="0" xfId="0" applyFont="1" applyFill="1"/>
    <xf numFmtId="169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zoomScaleNormal="100" workbookViewId="0">
      <pane ySplit="1" topLeftCell="A2" activePane="bottomLeft" state="frozen"/>
      <selection activeCell="N1" sqref="N1"/>
      <selection pane="bottomLeft" activeCell="X52" sqref="X5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45">
        <v>-1</v>
      </c>
      <c r="K2" s="45">
        <v>-1</v>
      </c>
      <c r="L2" s="45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45">
        <v>-1</v>
      </c>
      <c r="K3" s="45">
        <v>-1</v>
      </c>
      <c r="L3" s="45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45052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45">
        <v>-1</v>
      </c>
      <c r="K4" s="45">
        <v>-1</v>
      </c>
      <c r="L4" s="45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45053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45">
        <v>-1</v>
      </c>
      <c r="K5" s="45">
        <v>-1</v>
      </c>
      <c r="L5" s="45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45054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45">
        <v>-1</v>
      </c>
      <c r="K6" s="45">
        <v>-1</v>
      </c>
      <c r="L6" s="45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45055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45">
        <v>-1</v>
      </c>
      <c r="K7" s="45">
        <v>-1</v>
      </c>
      <c r="L7" s="45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45056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45">
        <v>-1</v>
      </c>
      <c r="K8" s="45">
        <v>-1</v>
      </c>
      <c r="L8" s="45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45057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45">
        <v>-1</v>
      </c>
      <c r="K9" s="45">
        <v>-1</v>
      </c>
      <c r="L9" s="45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45058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45">
        <v>-1</v>
      </c>
      <c r="K10" s="45">
        <v>-1</v>
      </c>
      <c r="L10" s="45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45059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45">
        <v>-1</v>
      </c>
      <c r="K11" s="45">
        <v>-1</v>
      </c>
      <c r="L11" s="45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45060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46">
        <v>0</v>
      </c>
      <c r="H12" s="46">
        <v>0</v>
      </c>
      <c r="I12" s="46">
        <v>0</v>
      </c>
      <c r="J12" s="46">
        <v>0</v>
      </c>
      <c r="K12" s="46">
        <v>0</v>
      </c>
      <c r="L12" s="46">
        <v>0</v>
      </c>
      <c r="M12" s="46">
        <v>0</v>
      </c>
      <c r="N12" s="46">
        <v>0</v>
      </c>
      <c r="O12" s="46">
        <v>0</v>
      </c>
      <c r="P12" s="46">
        <v>0</v>
      </c>
      <c r="Q12" s="46">
        <v>0</v>
      </c>
      <c r="R12" s="46">
        <v>0</v>
      </c>
      <c r="S12" s="46">
        <v>0</v>
      </c>
      <c r="T12" s="46">
        <v>0</v>
      </c>
      <c r="U12" s="46">
        <v>0</v>
      </c>
      <c r="V12" s="46">
        <v>0</v>
      </c>
      <c r="W12" s="46">
        <v>0</v>
      </c>
      <c r="X12" s="47">
        <v>45061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45">
        <v>-1</v>
      </c>
      <c r="K13" s="45">
        <v>-1</v>
      </c>
      <c r="L13" s="45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45062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45">
        <v>-1</v>
      </c>
      <c r="K14" s="45">
        <v>-1</v>
      </c>
      <c r="L14" s="45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45063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45">
        <v>-1</v>
      </c>
      <c r="K15" s="45">
        <v>-1</v>
      </c>
      <c r="L15" s="45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45064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45">
        <v>-1</v>
      </c>
      <c r="K16" s="45">
        <v>-1</v>
      </c>
      <c r="L16" s="45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45065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45">
        <v>-1</v>
      </c>
      <c r="K17" s="45">
        <v>-1</v>
      </c>
      <c r="L17" s="45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45066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45">
        <v>-1</v>
      </c>
      <c r="K18" s="45">
        <v>-1</v>
      </c>
      <c r="L18" s="45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45067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45">
        <v>-1</v>
      </c>
      <c r="K19" s="45">
        <v>-1</v>
      </c>
      <c r="L19" s="45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45068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45">
        <v>-1</v>
      </c>
      <c r="K20" s="45">
        <v>-1</v>
      </c>
      <c r="L20" s="45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45069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45">
        <v>-1</v>
      </c>
      <c r="K21" s="45">
        <v>-1</v>
      </c>
      <c r="L21" s="45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45070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45">
        <v>-1</v>
      </c>
      <c r="K22" s="45">
        <v>-1</v>
      </c>
      <c r="L22" s="45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45071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45">
        <v>-1</v>
      </c>
      <c r="K23" s="45">
        <v>-1</v>
      </c>
      <c r="L23" s="45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45072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45">
        <v>-1</v>
      </c>
      <c r="K24" s="45">
        <v>-1</v>
      </c>
      <c r="L24" s="45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45073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45">
        <v>-1</v>
      </c>
      <c r="K25" s="45">
        <v>-1</v>
      </c>
      <c r="L25" s="45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45074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46">
        <v>0</v>
      </c>
      <c r="H26" s="46">
        <v>0</v>
      </c>
      <c r="I26" s="46">
        <v>0</v>
      </c>
      <c r="J26" s="46">
        <v>0</v>
      </c>
      <c r="K26" s="46">
        <v>0</v>
      </c>
      <c r="L26" s="46">
        <v>0</v>
      </c>
      <c r="M26" s="46">
        <v>0</v>
      </c>
      <c r="N26" s="46">
        <v>0</v>
      </c>
      <c r="O26" s="46">
        <v>0</v>
      </c>
      <c r="P26" s="46">
        <v>0</v>
      </c>
      <c r="Q26" s="46">
        <v>0</v>
      </c>
      <c r="R26" s="46">
        <v>0</v>
      </c>
      <c r="S26" s="46">
        <v>0</v>
      </c>
      <c r="T26" s="46">
        <v>0</v>
      </c>
      <c r="U26" s="46">
        <v>0</v>
      </c>
      <c r="V26" s="46">
        <v>0</v>
      </c>
      <c r="W26" s="46">
        <v>0</v>
      </c>
      <c r="X26" s="47">
        <v>45075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45">
        <v>-1</v>
      </c>
      <c r="K27" s="45">
        <v>-1</v>
      </c>
      <c r="L27" s="45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45076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45">
        <v>-1</v>
      </c>
      <c r="K28" s="45">
        <v>-1</v>
      </c>
      <c r="L28" s="45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45077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45">
        <v>-1</v>
      </c>
      <c r="K29" s="45">
        <v>-1</v>
      </c>
      <c r="L29" s="45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45078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45">
        <v>-1</v>
      </c>
      <c r="K30" s="45">
        <v>-1</v>
      </c>
      <c r="L30" s="45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45079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45">
        <v>-1</v>
      </c>
      <c r="K31" s="45">
        <v>-1</v>
      </c>
      <c r="L31" s="45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45080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45">
        <v>-1</v>
      </c>
      <c r="K32" s="45">
        <v>-1</v>
      </c>
      <c r="L32" s="45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45081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45">
        <v>-1</v>
      </c>
      <c r="K33" s="45">
        <v>-1</v>
      </c>
      <c r="L33" s="45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45082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45">
        <v>-1</v>
      </c>
      <c r="K34" s="45">
        <v>-1</v>
      </c>
      <c r="L34" s="45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45083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45">
        <v>-1</v>
      </c>
      <c r="K35" s="45">
        <v>-1</v>
      </c>
      <c r="L35" s="45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45084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45">
        <v>-1</v>
      </c>
      <c r="K36" s="45">
        <v>-1</v>
      </c>
      <c r="L36" s="45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45085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45">
        <v>-1</v>
      </c>
      <c r="K37" s="45">
        <v>-1</v>
      </c>
      <c r="L37" s="45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45086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45">
        <v>-1</v>
      </c>
      <c r="K38" s="45">
        <v>-1</v>
      </c>
      <c r="L38" s="45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45087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45">
        <v>-1</v>
      </c>
      <c r="K39" s="45">
        <v>-1</v>
      </c>
      <c r="L39" s="45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45088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45">
        <v>-1</v>
      </c>
      <c r="K40" s="45">
        <v>-1</v>
      </c>
      <c r="L40" s="45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45089</v>
      </c>
    </row>
    <row r="43" spans="1:24" x14ac:dyDescent="0.35">
      <c r="H43" s="1">
        <f>SUMIF(H2:H40,"&gt;20")</f>
        <v>1473.0000000000002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3"/>
  <sheetViews>
    <sheetView zoomScaleNormal="100" workbookViewId="0">
      <selection activeCell="C5" sqref="C5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>
        <f>SUMIF(Dataset!H2:H40,"&gt;20")</f>
        <v>1473.0000000000002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  <row r="43" spans="8:8" x14ac:dyDescent="0.35">
      <c r="H43" s="1" t="b">
        <f>Task_1!C5=SUMIF(H2:H40,"&gt;20")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21" zoomScaleNormal="100" workbookViewId="0">
      <selection activeCell="D36" sqref="D3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VLOOKUP($A6,Dataset!$2:$40,MATCH(B$5,Dataset!$A$1:$X$1,0),FALSE)</f>
        <v>2.7</v>
      </c>
      <c r="C6" s="11">
        <f>VLOOKUP($A6,Dataset!$2:$40,MATCH(C$5,Dataset!$A$1:$X$1,0),FALSE)</f>
        <v>7.6</v>
      </c>
      <c r="D6" s="11">
        <f>VLOOKUP($A6,Dataset!$2:$40,MATCH(D$5,Dataset!$A$1:$X$1,0),FALSE)</f>
        <v>4.2</v>
      </c>
      <c r="E6" s="11">
        <f>VLOOKUP($A6,Dataset!$2:$40,MATCH(E$5,Dataset!$A$1:$X$1,0),FALSE)</f>
        <v>8.9</v>
      </c>
      <c r="F6" s="11">
        <f>VLOOKUP($A6,Dataset!$2:$40,MATCH(F$5,Dataset!$A$1:$X$1,0),FALSE)</f>
        <v>4.2</v>
      </c>
    </row>
    <row r="7" spans="1:7" ht="14.5" x14ac:dyDescent="0.35">
      <c r="A7" s="7" t="s">
        <v>4</v>
      </c>
      <c r="B7" s="11">
        <f>VLOOKUP($A7,Dataset!$2:$40,MATCH(B$5,Dataset!$A$1:$X$1,0),FALSE)</f>
        <v>2.7</v>
      </c>
      <c r="C7" s="11">
        <f>VLOOKUP($A7,Dataset!$2:$40,MATCH(C$5,Dataset!$A$1:$X$1,0),FALSE)</f>
        <v>7.6</v>
      </c>
      <c r="D7" s="11">
        <f>VLOOKUP($A7,Dataset!$2:$40,MATCH(D$5,Dataset!$A$1:$X$1,0),FALSE)</f>
        <v>4.2</v>
      </c>
      <c r="E7" s="11">
        <f>VLOOKUP($A7,Dataset!$2:$40,MATCH(E$5,Dataset!$A$1:$X$1,0),FALSE)</f>
        <v>8.9</v>
      </c>
      <c r="F7" s="11">
        <f>VLOOKUP($A7,Dataset!$2:$40,MATCH(F$5,Dataset!$A$1:$X$1,0),FALSE)</f>
        <v>4.2</v>
      </c>
    </row>
    <row r="8" spans="1:7" ht="14.5" x14ac:dyDescent="0.35">
      <c r="A8" s="7" t="s">
        <v>7</v>
      </c>
      <c r="B8" s="11">
        <f>VLOOKUP($A8,Dataset!$2:$40,MATCH(B$5,Dataset!$A$1:$X$1,0),FALSE)</f>
        <v>3.6</v>
      </c>
      <c r="C8" s="11">
        <f>VLOOKUP($A8,Dataset!$2:$40,MATCH(C$5,Dataset!$A$1:$X$1,0),FALSE)</f>
        <v>11.1</v>
      </c>
      <c r="D8" s="11">
        <f>VLOOKUP($A8,Dataset!$2:$40,MATCH(D$5,Dataset!$A$1:$X$1,0),FALSE)</f>
        <v>5.8</v>
      </c>
      <c r="E8" s="11">
        <f>VLOOKUP($A8,Dataset!$2:$40,MATCH(E$5,Dataset!$A$1:$X$1,0),FALSE)</f>
        <v>12.2</v>
      </c>
      <c r="F8" s="11">
        <f>VLOOKUP($A8,Dataset!$2:$40,MATCH(F$5,Dataset!$A$1:$X$1,0),FALSE)</f>
        <v>5.8</v>
      </c>
    </row>
    <row r="9" spans="1:7" ht="14.5" x14ac:dyDescent="0.35">
      <c r="A9" s="7" t="s">
        <v>8</v>
      </c>
      <c r="B9" s="11">
        <f>VLOOKUP($A9,Dataset!$2:$40,MATCH(B$5,Dataset!$A$1:$X$1,0),FALSE)</f>
        <v>4.9000000000000004</v>
      </c>
      <c r="C9" s="11">
        <f>VLOOKUP($A9,Dataset!$2:$40,MATCH(C$5,Dataset!$A$1:$X$1,0),FALSE)</f>
        <v>13.3</v>
      </c>
      <c r="D9" s="11">
        <f>VLOOKUP($A9,Dataset!$2:$40,MATCH(D$5,Dataset!$A$1:$X$1,0),FALSE)</f>
        <v>8.1</v>
      </c>
      <c r="E9" s="11">
        <f>VLOOKUP($A9,Dataset!$2:$40,MATCH(E$5,Dataset!$A$1:$X$1,0),FALSE)</f>
        <v>17</v>
      </c>
      <c r="F9" s="11">
        <f>VLOOKUP($A9,Dataset!$2:$40,MATCH(F$5,Dataset!$A$1:$X$1,0),FALSE)</f>
        <v>8.1</v>
      </c>
    </row>
    <row r="10" spans="1:7" ht="14.5" x14ac:dyDescent="0.35">
      <c r="A10" s="7" t="s">
        <v>11</v>
      </c>
      <c r="B10" s="11">
        <f>VLOOKUP($A10,Dataset!$2:$40,MATCH(B$5,Dataset!$A$1:$X$1,0),FALSE)</f>
        <v>9.4</v>
      </c>
      <c r="C10" s="11">
        <f>VLOOKUP($A10,Dataset!$2:$40,MATCH(C$5,Dataset!$A$1:$X$1,0),FALSE)</f>
        <v>28.3</v>
      </c>
      <c r="D10" s="11">
        <f>VLOOKUP($A10,Dataset!$2:$40,MATCH(D$5,Dataset!$A$1:$X$1,0),FALSE)</f>
        <v>16.100000000000001</v>
      </c>
      <c r="E10" s="11">
        <f>VLOOKUP($A10,Dataset!$2:$40,MATCH(E$5,Dataset!$A$1:$X$1,0),FALSE)</f>
        <v>32.799999999999997</v>
      </c>
      <c r="F10" s="11">
        <f>VLOOKUP($A10,Dataset!$2:$40,MATCH(F$5,Dataset!$A$1:$X$1,0),FALSE)</f>
        <v>16.100000000000001</v>
      </c>
    </row>
    <row r="11" spans="1:7" ht="14.5" x14ac:dyDescent="0.35">
      <c r="A11" s="7" t="s">
        <v>12</v>
      </c>
      <c r="B11" s="11">
        <f>VLOOKUP($A11,Dataset!$2:$40,MATCH(B$5,Dataset!$A$1:$X$1,0),FALSE)</f>
        <v>11.6</v>
      </c>
      <c r="C11" s="11">
        <f>VLOOKUP($A11,Dataset!$2:$40,MATCH(C$5,Dataset!$A$1:$X$1,0),FALSE)</f>
        <v>35.200000000000003</v>
      </c>
      <c r="D11" s="11">
        <f>VLOOKUP($A11,Dataset!$2:$40,MATCH(D$5,Dataset!$A$1:$X$1,0),FALSE)</f>
        <v>21.3</v>
      </c>
      <c r="E11" s="11">
        <f>VLOOKUP($A11,Dataset!$2:$40,MATCH(E$5,Dataset!$A$1:$X$1,0),FALSE)</f>
        <v>43</v>
      </c>
      <c r="F11" s="11">
        <f>VLOOKUP($A11,Dataset!$2:$40,MATCH(F$5,Dataset!$A$1:$X$1,0),FALSE)</f>
        <v>21.3</v>
      </c>
    </row>
    <row r="12" spans="1:7" ht="14.5" x14ac:dyDescent="0.35">
      <c r="A12" s="7" t="s">
        <v>14</v>
      </c>
      <c r="B12" s="11">
        <f>VLOOKUP($A12,Dataset!$2:$40,MATCH(B$5,Dataset!$A$1:$X$1,0),FALSE)</f>
        <v>18.399999999999999</v>
      </c>
      <c r="C12" s="11">
        <f>VLOOKUP($A12,Dataset!$2:$40,MATCH(C$5,Dataset!$A$1:$X$1,0),FALSE)</f>
        <v>55.6</v>
      </c>
      <c r="D12" s="11">
        <f>VLOOKUP($A12,Dataset!$2:$40,MATCH(D$5,Dataset!$A$1:$X$1,0),FALSE)</f>
        <v>33.799999999999997</v>
      </c>
      <c r="E12" s="11">
        <f>VLOOKUP($A12,Dataset!$2:$40,MATCH(E$5,Dataset!$A$1:$X$1,0),FALSE)</f>
        <v>67.900000000000006</v>
      </c>
      <c r="F12" s="11">
        <f>VLOOKUP($A12,Dataset!$2:$40,MATCH(F$5,Dataset!$A$1:$X$1,0),FALSE)</f>
        <v>33.799999999999997</v>
      </c>
    </row>
    <row r="13" spans="1:7" ht="14.5" x14ac:dyDescent="0.35">
      <c r="A13" s="7" t="s">
        <v>15</v>
      </c>
      <c r="B13" s="11">
        <f>VLOOKUP($A13,Dataset!$2:$40,MATCH(B$5,Dataset!$A$1:$X$1,0),FALSE)</f>
        <v>0</v>
      </c>
      <c r="C13" s="11">
        <f>VLOOKUP($A13,Dataset!$2:$40,MATCH(C$5,Dataset!$A$1:$X$1,0),FALSE)</f>
        <v>0</v>
      </c>
      <c r="D13" s="11">
        <f>VLOOKUP($A13,Dataset!$2:$40,MATCH(D$5,Dataset!$A$1:$X$1,0),FALSE)</f>
        <v>0</v>
      </c>
      <c r="E13" s="11">
        <f>VLOOKUP($A13,Dataset!$2:$40,MATCH(E$5,Dataset!$A$1:$X$1,0),FALSE)</f>
        <v>0</v>
      </c>
      <c r="F13" s="11">
        <f>VLOOKUP($A13,Dataset!$2:$40,MATCH(F$5,Dataset!$A$1:$X$1,0),FALSE)</f>
        <v>0</v>
      </c>
    </row>
    <row r="14" spans="1:7" ht="14.5" x14ac:dyDescent="0.35">
      <c r="A14" s="7" t="s">
        <v>16</v>
      </c>
      <c r="B14" s="11">
        <f>VLOOKUP($A14,Dataset!$2:$40,MATCH(B$5,Dataset!$A$1:$X$1,0),FALSE)</f>
        <v>21.9</v>
      </c>
      <c r="C14" s="11">
        <f>VLOOKUP($A14,Dataset!$2:$40,MATCH(C$5,Dataset!$A$1:$X$1,0),FALSE)</f>
        <v>61.5</v>
      </c>
      <c r="D14" s="11">
        <f>VLOOKUP($A14,Dataset!$2:$40,MATCH(D$5,Dataset!$A$1:$X$1,0),FALSE)</f>
        <v>40.1</v>
      </c>
      <c r="E14" s="11">
        <f>VLOOKUP($A14,Dataset!$2:$40,MATCH(E$5,Dataset!$A$1:$X$1,0),FALSE)</f>
        <v>76.599999999999994</v>
      </c>
      <c r="F14" s="11">
        <f>VLOOKUP($A14,Dataset!$2:$40,MATCH(F$5,Dataset!$A$1:$X$1,0),FALSE)</f>
        <v>40.1</v>
      </c>
    </row>
    <row r="15" spans="1:7" ht="14.5" x14ac:dyDescent="0.35">
      <c r="A15" s="7" t="s">
        <v>18</v>
      </c>
      <c r="B15" s="11">
        <f>VLOOKUP($A15,Dataset!$2:$40,MATCH(B$5,Dataset!$A$1:$X$1,0),FALSE)</f>
        <v>26.8</v>
      </c>
      <c r="C15" s="11">
        <f>VLOOKUP($A15,Dataset!$2:$40,MATCH(C$5,Dataset!$A$1:$X$1,0),FALSE)</f>
        <v>79.599999999999994</v>
      </c>
      <c r="D15" s="11">
        <f>VLOOKUP($A15,Dataset!$2:$40,MATCH(D$5,Dataset!$A$1:$X$1,0),FALSE)</f>
        <v>47.9</v>
      </c>
      <c r="E15" s="11">
        <f>VLOOKUP($A15,Dataset!$2:$40,MATCH(E$5,Dataset!$A$1:$X$1,0),FALSE)</f>
        <v>96.8</v>
      </c>
      <c r="F15" s="11">
        <f>VLOOKUP($A15,Dataset!$2:$40,MATCH(F$5,Dataset!$A$1:$X$1,0),FALSE)</f>
        <v>47.9</v>
      </c>
    </row>
    <row r="16" spans="1:7" ht="14.5" x14ac:dyDescent="0.35">
      <c r="A16" s="7" t="s">
        <v>20</v>
      </c>
      <c r="B16" s="11">
        <f>VLOOKUP($A16,Dataset!$2:$40,MATCH(B$5,Dataset!$A$1:$X$1,0),FALSE)</f>
        <v>28.5</v>
      </c>
      <c r="C16" s="11">
        <f>VLOOKUP($A16,Dataset!$2:$40,MATCH(C$5,Dataset!$A$1:$X$1,0),FALSE)</f>
        <v>85.4</v>
      </c>
      <c r="D16" s="11">
        <f>VLOOKUP($A16,Dataset!$2:$40,MATCH(D$5,Dataset!$A$1:$X$1,0),FALSE)</f>
        <v>52.3</v>
      </c>
      <c r="E16" s="11">
        <f>VLOOKUP($A16,Dataset!$2:$40,MATCH(E$5,Dataset!$A$1:$X$1,0),FALSE)</f>
        <v>106.1</v>
      </c>
      <c r="F16" s="11">
        <f>VLOOKUP($A16,Dataset!$2:$40,MATCH(F$5,Dataset!$A$1:$X$1,0),FALSE)</f>
        <v>52.3</v>
      </c>
    </row>
    <row r="17" spans="1:6" ht="14.5" x14ac:dyDescent="0.35">
      <c r="A17" s="7" t="s">
        <v>22</v>
      </c>
      <c r="B17" s="11">
        <f>VLOOKUP($A17,Dataset!$2:$40,MATCH(B$5,Dataset!$A$1:$X$1,0),FALSE)</f>
        <v>30.7</v>
      </c>
      <c r="C17" s="11">
        <f>VLOOKUP($A17,Dataset!$2:$40,MATCH(C$5,Dataset!$A$1:$X$1,0),FALSE)</f>
        <v>92.1</v>
      </c>
      <c r="D17" s="11">
        <f>VLOOKUP($A17,Dataset!$2:$40,MATCH(D$5,Dataset!$A$1:$X$1,0),FALSE)</f>
        <v>57</v>
      </c>
      <c r="E17" s="11">
        <f>VLOOKUP($A17,Dataset!$2:$40,MATCH(E$5,Dataset!$A$1:$X$1,0),FALSE)</f>
        <v>115.1</v>
      </c>
      <c r="F17" s="11">
        <f>VLOOKUP($A17,Dataset!$2:$40,MATCH(F$5,Dataset!$A$1:$X$1,0),FALSE)</f>
        <v>57</v>
      </c>
    </row>
    <row r="18" spans="1:6" ht="14.5" x14ac:dyDescent="0.35">
      <c r="A18" s="7" t="s">
        <v>23</v>
      </c>
      <c r="B18" s="11">
        <f>VLOOKUP($A18,Dataset!$2:$40,MATCH(B$5,Dataset!$A$1:$X$1,0),FALSE)</f>
        <v>33.799999999999997</v>
      </c>
      <c r="C18" s="11">
        <f>VLOOKUP($A18,Dataset!$2:$40,MATCH(C$5,Dataset!$A$1:$X$1,0),FALSE)</f>
        <v>101.3</v>
      </c>
      <c r="D18" s="11">
        <f>VLOOKUP($A18,Dataset!$2:$40,MATCH(D$5,Dataset!$A$1:$X$1,0),FALSE)</f>
        <v>61.4</v>
      </c>
      <c r="E18" s="11">
        <f>VLOOKUP($A18,Dataset!$2:$40,MATCH(E$5,Dataset!$A$1:$X$1,0),FALSE)</f>
        <v>124.4</v>
      </c>
      <c r="F18" s="11">
        <f>VLOOKUP($A18,Dataset!$2:$40,MATCH(F$5,Dataset!$A$1:$X$1,0),FALSE)</f>
        <v>61.4</v>
      </c>
    </row>
    <row r="19" spans="1:6" ht="14.5" x14ac:dyDescent="0.35">
      <c r="A19" s="7" t="s">
        <v>24</v>
      </c>
      <c r="B19" s="11">
        <f>VLOOKUP($A19,Dataset!$2:$40,MATCH(B$5,Dataset!$A$1:$X$1,0),FALSE)</f>
        <v>34.700000000000003</v>
      </c>
      <c r="C19" s="11">
        <f>VLOOKUP($A19,Dataset!$2:$40,MATCH(C$5,Dataset!$A$1:$X$1,0),FALSE)</f>
        <v>106.1</v>
      </c>
      <c r="D19" s="11">
        <f>VLOOKUP($A19,Dataset!$2:$40,MATCH(D$5,Dataset!$A$1:$X$1,0),FALSE)</f>
        <v>63.6</v>
      </c>
      <c r="E19" s="11">
        <f>VLOOKUP($A19,Dataset!$2:$40,MATCH(E$5,Dataset!$A$1:$X$1,0),FALSE)</f>
        <v>128.6</v>
      </c>
      <c r="F19" s="11">
        <f>VLOOKUP($A19,Dataset!$2:$40,MATCH(F$5,Dataset!$A$1:$X$1,0),FALSE)</f>
        <v>63.6</v>
      </c>
    </row>
    <row r="20" spans="1:6" ht="14.5" x14ac:dyDescent="0.35">
      <c r="A20" s="7" t="s">
        <v>28</v>
      </c>
      <c r="B20" s="11">
        <f>VLOOKUP($A20,Dataset!$2:$40,MATCH(B$5,Dataset!$A$1:$X$1,0),FALSE)</f>
        <v>0</v>
      </c>
      <c r="C20" s="11">
        <f>VLOOKUP($A20,Dataset!$2:$40,MATCH(C$5,Dataset!$A$1:$X$1,0),FALSE)</f>
        <v>0</v>
      </c>
      <c r="D20" s="11">
        <f>VLOOKUP($A20,Dataset!$2:$40,MATCH(D$5,Dataset!$A$1:$X$1,0),FALSE)</f>
        <v>0</v>
      </c>
      <c r="E20" s="11">
        <f>VLOOKUP($A20,Dataset!$2:$40,MATCH(E$5,Dataset!$A$1:$X$1,0),FALSE)</f>
        <v>0</v>
      </c>
      <c r="F20" s="11">
        <f>VLOOKUP($A20,Dataset!$2:$40,MATCH(F$5,Dataset!$A$1:$X$1,0),FALSE)</f>
        <v>0</v>
      </c>
    </row>
    <row r="21" spans="1:6" ht="14.5" x14ac:dyDescent="0.35">
      <c r="A21" s="7" t="s">
        <v>57</v>
      </c>
      <c r="B21" s="11">
        <f>VLOOKUP($A21,Dataset!$2:$40,MATCH(B$5,Dataset!$A$1:$X$1,0),FALSE)</f>
        <v>41.3</v>
      </c>
      <c r="C21" s="11">
        <f>VLOOKUP($A21,Dataset!$2:$40,MATCH(C$5,Dataset!$A$1:$X$1,0),FALSE)</f>
        <v>124.4</v>
      </c>
      <c r="D21" s="11">
        <f>VLOOKUP($A21,Dataset!$2:$40,MATCH(D$5,Dataset!$A$1:$X$1,0),FALSE)</f>
        <v>75</v>
      </c>
      <c r="E21" s="11">
        <f>VLOOKUP($A21,Dataset!$2:$40,MATCH(E$5,Dataset!$A$1:$X$1,0),FALSE)</f>
        <v>151.5</v>
      </c>
      <c r="F21" s="11">
        <f>VLOOKUP($A21,Dataset!$2:$40,MATCH(F$5,Dataset!$A$1:$X$1,0),FALSE)</f>
        <v>75</v>
      </c>
    </row>
    <row r="22" spans="1:6" ht="14.5" x14ac:dyDescent="0.35">
      <c r="A22" s="7" t="s">
        <v>58</v>
      </c>
      <c r="B22" s="11">
        <f>VLOOKUP($A22,Dataset!$2:$40,MATCH(B$5,Dataset!$A$1:$X$1,0),FALSE)</f>
        <v>-1</v>
      </c>
      <c r="C22" s="11">
        <f>VLOOKUP($A22,Dataset!$2:$40,MATCH(C$5,Dataset!$A$1:$X$1,0),FALSE)</f>
        <v>-1</v>
      </c>
      <c r="D22" s="11">
        <f>VLOOKUP($A22,Dataset!$2:$40,MATCH(D$5,Dataset!$A$1:$X$1,0),FALSE)</f>
        <v>-1</v>
      </c>
      <c r="E22" s="11">
        <f>VLOOKUP($A22,Dataset!$2:$40,MATCH(E$5,Dataset!$A$1:$X$1,0),FALSE)</f>
        <v>-1</v>
      </c>
      <c r="F22" s="11">
        <f>VLOOKUP($A22,Dataset!$2:$40,MATCH(F$5,Dataset!$A$1:$X$1,0),FALSE)</f>
        <v>-1</v>
      </c>
    </row>
    <row r="23" spans="1:6" ht="14.5" x14ac:dyDescent="0.35">
      <c r="A23" s="7" t="s">
        <v>31</v>
      </c>
      <c r="B23" s="11">
        <f>VLOOKUP($A23,Dataset!$2:$40,MATCH(B$5,Dataset!$A$1:$X$1,0),FALSE)</f>
        <v>45</v>
      </c>
      <c r="C23" s="11">
        <f>VLOOKUP($A23,Dataset!$2:$40,MATCH(C$5,Dataset!$A$1:$X$1,0),FALSE)</f>
        <v>133.4</v>
      </c>
      <c r="D23" s="11">
        <f>VLOOKUP($A23,Dataset!$2:$40,MATCH(D$5,Dataset!$A$1:$X$1,0),FALSE)</f>
        <v>79.400000000000006</v>
      </c>
      <c r="E23" s="11">
        <f>VLOOKUP($A23,Dataset!$2:$40,MATCH(E$5,Dataset!$A$1:$X$1,0),FALSE)</f>
        <v>160.9</v>
      </c>
      <c r="F23" s="11">
        <f>VLOOKUP($A23,Dataset!$2:$40,MATCH(F$5,Dataset!$A$1:$X$1,0),FALSE)</f>
        <v>79.400000000000006</v>
      </c>
    </row>
    <row r="24" spans="1:6" ht="14.5" x14ac:dyDescent="0.35">
      <c r="A24" s="7" t="s">
        <v>32</v>
      </c>
      <c r="B24" s="11">
        <f>VLOOKUP($A24,Dataset!$2:$40,MATCH(B$5,Dataset!$A$1:$X$1,0),FALSE)</f>
        <v>-1</v>
      </c>
      <c r="C24" s="11">
        <f>VLOOKUP($A24,Dataset!$2:$40,MATCH(C$5,Dataset!$A$1:$X$1,0),FALSE)</f>
        <v>-1</v>
      </c>
      <c r="D24" s="11">
        <f>VLOOKUP($A24,Dataset!$2:$40,MATCH(D$5,Dataset!$A$1:$X$1,0),FALSE)</f>
        <v>-1</v>
      </c>
      <c r="E24" s="11">
        <f>VLOOKUP($A24,Dataset!$2:$40,MATCH(E$5,Dataset!$A$1:$X$1,0),FALSE)</f>
        <v>-1</v>
      </c>
      <c r="F24" s="11">
        <f>VLOOKUP($A24,Dataset!$2:$40,MATCH(F$5,Dataset!$A$1:$X$1,0),FALSE)</f>
        <v>-1</v>
      </c>
    </row>
    <row r="25" spans="1:6" ht="14.5" x14ac:dyDescent="0.35">
      <c r="A25" s="7" t="s">
        <v>34</v>
      </c>
      <c r="B25" s="11">
        <f>VLOOKUP($A25,Dataset!$2:$40,MATCH(B$5,Dataset!$A$1:$X$1,0),FALSE)</f>
        <v>43.3</v>
      </c>
      <c r="C25" s="11">
        <f>VLOOKUP($A25,Dataset!$2:$40,MATCH(C$5,Dataset!$A$1:$X$1,0),FALSE)</f>
        <v>128.6</v>
      </c>
      <c r="D25" s="11">
        <f>VLOOKUP($A25,Dataset!$2:$40,MATCH(D$5,Dataset!$A$1:$X$1,0),FALSE)</f>
        <v>79.400000000000006</v>
      </c>
      <c r="E25" s="11">
        <f>VLOOKUP($A25,Dataset!$2:$40,MATCH(E$5,Dataset!$A$1:$X$1,0),FALSE)</f>
        <v>160.9</v>
      </c>
      <c r="F25" s="11">
        <f>VLOOKUP($A25,Dataset!$2:$40,MATCH(F$5,Dataset!$A$1:$X$1,0),FALSE)</f>
        <v>79.400000000000006</v>
      </c>
    </row>
    <row r="26" spans="1:6" ht="14.5" x14ac:dyDescent="0.35">
      <c r="A26" s="7" t="s">
        <v>37</v>
      </c>
      <c r="B26" s="11">
        <f>VLOOKUP($A26,Dataset!$2:$40,MATCH(B$5,Dataset!$A$1:$X$1,0),FALSE)</f>
        <v>49.1</v>
      </c>
      <c r="C26" s="11">
        <f>VLOOKUP($A26,Dataset!$2:$40,MATCH(C$5,Dataset!$A$1:$X$1,0),FALSE)</f>
        <v>146.80000000000001</v>
      </c>
      <c r="D26" s="11">
        <f>VLOOKUP($A26,Dataset!$2:$40,MATCH(D$5,Dataset!$A$1:$X$1,0),FALSE)</f>
        <v>90.9</v>
      </c>
      <c r="E26" s="11">
        <f>VLOOKUP($A26,Dataset!$2:$40,MATCH(E$5,Dataset!$A$1:$X$1,0),FALSE)</f>
        <v>183.5</v>
      </c>
      <c r="F26" s="11">
        <f>VLOOKUP($A26,Dataset!$2:$40,MATCH(F$5,Dataset!$A$1:$X$1,0),FALSE)</f>
        <v>90.9</v>
      </c>
    </row>
    <row r="27" spans="1:6" ht="14.5" x14ac:dyDescent="0.35">
      <c r="A27" s="7" t="s">
        <v>39</v>
      </c>
      <c r="B27" s="11">
        <f>VLOOKUP($A27,Dataset!$2:$40,MATCH(B$5,Dataset!$A$1:$X$1,0),FALSE)</f>
        <v>51.8</v>
      </c>
      <c r="C27" s="11">
        <f>VLOOKUP($A27,Dataset!$2:$40,MATCH(C$5,Dataset!$A$1:$X$1,0),FALSE)</f>
        <v>156.4</v>
      </c>
      <c r="D27" s="11">
        <f>VLOOKUP($A27,Dataset!$2:$40,MATCH(D$5,Dataset!$A$1:$X$1,0),FALSE)</f>
        <v>93.1</v>
      </c>
      <c r="E27" s="11">
        <f>VLOOKUP($A27,Dataset!$2:$40,MATCH(E$5,Dataset!$A$1:$X$1,0),FALSE)</f>
        <v>188.1</v>
      </c>
      <c r="F27" s="11">
        <f>VLOOKUP($A27,Dataset!$2:$40,MATCH(F$5,Dataset!$A$1:$X$1,0),FALSE)</f>
        <v>93.1</v>
      </c>
    </row>
    <row r="28" spans="1:6" ht="14.5" x14ac:dyDescent="0.35">
      <c r="A28" s="18" t="s">
        <v>82</v>
      </c>
      <c r="B28" s="30">
        <f>MIN(B$6:B$27)</f>
        <v>-1</v>
      </c>
      <c r="C28" s="30">
        <f>MIN(C$6:C$27)</f>
        <v>-1</v>
      </c>
      <c r="D28" s="30">
        <f t="shared" ref="D28:F28" si="0">MIN(D$6:D$27)</f>
        <v>-1</v>
      </c>
      <c r="E28" s="30">
        <f t="shared" si="0"/>
        <v>-1</v>
      </c>
      <c r="F28" s="30">
        <f t="shared" si="0"/>
        <v>-1</v>
      </c>
    </row>
    <row r="29" spans="1:6" ht="14.5" x14ac:dyDescent="0.35">
      <c r="A29" s="18" t="s">
        <v>83</v>
      </c>
      <c r="B29" s="30">
        <f>MAX(B$6:B$27)</f>
        <v>51.8</v>
      </c>
      <c r="C29" s="30">
        <f t="shared" ref="C29:F29" si="1">MAX(C$6:C$27)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5" x14ac:dyDescent="0.35">
      <c r="A30" s="18" t="s">
        <v>84</v>
      </c>
      <c r="B30" s="30">
        <f>AVERAGE(B$6:B$27)</f>
        <v>20.827272727272728</v>
      </c>
      <c r="C30" s="30">
        <f t="shared" ref="C30:F30" si="2">AVERAGE(C$6:C$27)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D19" sqref="D19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2" t="s">
        <v>53</v>
      </c>
      <c r="B5" s="39"/>
    </row>
    <row r="6" spans="1:10" ht="18.5" x14ac:dyDescent="0.45">
      <c r="A6" s="42" t="s">
        <v>153</v>
      </c>
      <c r="B6" s="39"/>
    </row>
    <row r="7" spans="1:10" ht="18.5" x14ac:dyDescent="0.45">
      <c r="A7" s="42"/>
      <c r="B7" s="39"/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E11" sqref="E11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167</v>
      </c>
    </row>
    <row r="2" spans="1:3" ht="18.5" x14ac:dyDescent="0.45">
      <c r="B2" s="39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178</v>
      </c>
    </row>
    <row r="7" spans="1:3" ht="14.5" x14ac:dyDescent="0.35">
      <c r="A7" s="3" t="s">
        <v>153</v>
      </c>
      <c r="B7" s="1" t="s">
        <v>177</v>
      </c>
    </row>
    <row r="10" spans="1:3" ht="23.5" x14ac:dyDescent="0.55000000000000004">
      <c r="A10" s="17" t="s">
        <v>162</v>
      </c>
    </row>
    <row r="11" spans="1:3" ht="14.5" x14ac:dyDescent="0.35">
      <c r="A11" s="31" t="s">
        <v>86</v>
      </c>
      <c r="B11" s="16" t="s">
        <v>87</v>
      </c>
      <c r="C11" s="16" t="s">
        <v>88</v>
      </c>
    </row>
    <row r="12" spans="1:3" ht="14.5" x14ac:dyDescent="0.35">
      <c r="A12" s="31">
        <v>44927</v>
      </c>
      <c r="B12" s="16" t="s">
        <v>59</v>
      </c>
      <c r="C12" s="16">
        <v>200</v>
      </c>
    </row>
    <row r="13" spans="1:3" ht="14.5" x14ac:dyDescent="0.35">
      <c r="A13" s="31">
        <v>44928</v>
      </c>
      <c r="B13" s="16" t="s">
        <v>60</v>
      </c>
      <c r="C13" s="16" t="e">
        <v>#N/A</v>
      </c>
    </row>
    <row r="14" spans="1:3" ht="14.5" x14ac:dyDescent="0.35">
      <c r="A14" s="31">
        <v>44929</v>
      </c>
      <c r="B14" s="16" t="s">
        <v>61</v>
      </c>
      <c r="C14" s="16">
        <v>50</v>
      </c>
    </row>
    <row r="15" spans="1:3" ht="14.5" x14ac:dyDescent="0.35">
      <c r="A15" s="31">
        <v>44930</v>
      </c>
      <c r="B15" s="16" t="s">
        <v>62</v>
      </c>
      <c r="C15" s="16" t="e">
        <v>#N/A</v>
      </c>
    </row>
    <row r="16" spans="1:3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154</v>
      </c>
      <c r="C17" s="16">
        <v>150</v>
      </c>
    </row>
    <row r="18" spans="1:3" ht="14.5" x14ac:dyDescent="0.35">
      <c r="A18" s="31">
        <v>44933</v>
      </c>
      <c r="B18" s="16" t="s">
        <v>155</v>
      </c>
      <c r="C18" s="16">
        <v>80</v>
      </c>
    </row>
    <row r="19" spans="1:3" ht="14.5" x14ac:dyDescent="0.35">
      <c r="A19" s="31">
        <v>44934</v>
      </c>
      <c r="B19" s="16" t="s">
        <v>156</v>
      </c>
      <c r="C19" s="16" t="e">
        <v>#N/A</v>
      </c>
    </row>
    <row r="20" spans="1:3" ht="14.5" x14ac:dyDescent="0.35">
      <c r="A20" s="31">
        <v>44935</v>
      </c>
      <c r="B20" s="16" t="s">
        <v>157</v>
      </c>
      <c r="C20" s="16">
        <v>30</v>
      </c>
    </row>
    <row r="21" spans="1:3" ht="14.5" x14ac:dyDescent="0.35">
      <c r="A21" s="31">
        <v>44936</v>
      </c>
      <c r="B21" s="16" t="s">
        <v>158</v>
      </c>
      <c r="C21" s="16" t="e">
        <v>#N/A</v>
      </c>
    </row>
    <row r="22" spans="1:3" ht="14.5" x14ac:dyDescent="0.35">
      <c r="B22" s="16" t="s">
        <v>159</v>
      </c>
      <c r="C22" s="24">
        <f t="array" ref="C22">SUM(IFERROR(Task_4!C12:C21,20))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Normal="100" workbookViewId="0">
      <selection activeCell="F14" sqref="F14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/>
    </row>
    <row r="5" spans="1:14" ht="18.5" x14ac:dyDescent="0.45">
      <c r="A5" s="42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3"/>
    </row>
    <row r="24" spans="1:14" ht="14.5" x14ac:dyDescent="0.35">
      <c r="A24" s="7">
        <v>10100</v>
      </c>
      <c r="B24" s="11">
        <v>10104</v>
      </c>
      <c r="C24" s="43"/>
    </row>
    <row r="25" spans="1:14" ht="14.5" x14ac:dyDescent="0.35">
      <c r="A25" s="7">
        <v>10108</v>
      </c>
      <c r="B25" s="11">
        <v>10102</v>
      </c>
      <c r="C25" s="43"/>
    </row>
    <row r="26" spans="1:14" ht="14.5" x14ac:dyDescent="0.35">
      <c r="A26" s="7">
        <v>10100</v>
      </c>
      <c r="B26" s="11">
        <v>10106</v>
      </c>
      <c r="C26" s="43"/>
    </row>
    <row r="27" spans="1:14" ht="14.5" x14ac:dyDescent="0.35">
      <c r="A27" s="7">
        <v>10108</v>
      </c>
      <c r="B27" s="11">
        <v>10110</v>
      </c>
      <c r="C27" s="43"/>
    </row>
    <row r="28" spans="1:14" ht="14.5" x14ac:dyDescent="0.35">
      <c r="A28" s="7">
        <v>10102</v>
      </c>
      <c r="B28" s="11">
        <v>10104</v>
      </c>
      <c r="C28" s="43"/>
    </row>
    <row r="29" spans="1:14" ht="14.5" x14ac:dyDescent="0.35">
      <c r="A29" s="7">
        <v>10106</v>
      </c>
      <c r="B29" s="11">
        <v>10108</v>
      </c>
      <c r="C29" s="43"/>
    </row>
    <row r="30" spans="1:14" ht="14.5" x14ac:dyDescent="0.35">
      <c r="A30" s="7">
        <v>10102</v>
      </c>
      <c r="B30" s="11">
        <v>10106</v>
      </c>
      <c r="C30" s="43"/>
    </row>
    <row r="31" spans="1:14" ht="14.5" x14ac:dyDescent="0.35">
      <c r="A31" s="7">
        <v>10110</v>
      </c>
      <c r="B31" s="11">
        <v>10114</v>
      </c>
      <c r="C31" s="43"/>
    </row>
    <row r="32" spans="1:14" ht="14.5" x14ac:dyDescent="0.35">
      <c r="A32" s="7">
        <v>10104</v>
      </c>
      <c r="B32" s="11">
        <v>10106</v>
      </c>
      <c r="C32" s="43"/>
    </row>
    <row r="33" spans="1:3" ht="14.5" x14ac:dyDescent="0.35">
      <c r="A33" s="7">
        <v>10110</v>
      </c>
      <c r="B33" s="11">
        <v>10112</v>
      </c>
      <c r="C33" s="43"/>
    </row>
    <row r="34" spans="1:3" ht="14.5" x14ac:dyDescent="0.35">
      <c r="A34" s="7">
        <v>10100</v>
      </c>
      <c r="B34" s="11">
        <v>10114</v>
      </c>
      <c r="C34" s="43"/>
    </row>
    <row r="35" spans="1:3" ht="14.5" x14ac:dyDescent="0.35">
      <c r="A35" s="8">
        <v>10112</v>
      </c>
      <c r="B35" s="12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Nibo</cp:lastModifiedBy>
  <dcterms:created xsi:type="dcterms:W3CDTF">2015-02-10T17:33:11Z</dcterms:created>
  <dcterms:modified xsi:type="dcterms:W3CDTF">2023-12-10T07:04:17Z</dcterms:modified>
</cp:coreProperties>
</file>